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https://portalguardianproducts-my.sharepoint.com/personal/alainapadgett_portalguardianproducts_onmicrosoft_com/Documents/"/>
    </mc:Choice>
  </mc:AlternateContent>
  <xr:revisionPtr revIDLastSave="0" documentId="8_{FCA16E58-C978-4DE5-8570-B748FC2AE88C}" xr6:coauthVersionLast="47" xr6:coauthVersionMax="47" xr10:uidLastSave="{00000000-0000-0000-0000-000000000000}"/>
  <bookViews>
    <workbookView xWindow="-120" yWindow="-120" windowWidth="20730" windowHeight="11040" xr2:uid="{A83D54E7-EA40-4336-9248-9B2ACC5461B1}"/>
  </bookViews>
  <sheets>
    <sheet name="subscriptionsCsv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P2" i="1"/>
  <c r="T2" i="1"/>
  <c r="H3" i="1"/>
  <c r="P3" i="1"/>
  <c r="T3" i="1"/>
  <c r="H4" i="1"/>
  <c r="P4" i="1"/>
  <c r="T4" i="1"/>
  <c r="H5" i="1"/>
  <c r="P5" i="1"/>
  <c r="T5" i="1"/>
  <c r="H6" i="1"/>
  <c r="P6" i="1"/>
  <c r="T6" i="1"/>
  <c r="H7" i="1"/>
  <c r="P7" i="1"/>
  <c r="T7" i="1"/>
  <c r="H8" i="1"/>
  <c r="P8" i="1"/>
  <c r="T8" i="1"/>
  <c r="H9" i="1"/>
  <c r="P9" i="1"/>
  <c r="T9" i="1"/>
  <c r="H10" i="1"/>
  <c r="P10" i="1"/>
  <c r="T10" i="1"/>
  <c r="H11" i="1"/>
  <c r="P11" i="1"/>
  <c r="T11" i="1"/>
  <c r="H12" i="1"/>
  <c r="P12" i="1"/>
  <c r="T12" i="1"/>
  <c r="H13" i="1"/>
  <c r="P13" i="1"/>
  <c r="T13" i="1"/>
  <c r="H14" i="1"/>
  <c r="P14" i="1"/>
  <c r="T14" i="1"/>
  <c r="H15" i="1"/>
  <c r="P15" i="1"/>
  <c r="T15" i="1"/>
  <c r="H16" i="1"/>
  <c r="P16" i="1"/>
  <c r="T16" i="1"/>
  <c r="H17" i="1"/>
  <c r="P17" i="1"/>
  <c r="T17" i="1"/>
  <c r="H18" i="1"/>
  <c r="P18" i="1"/>
  <c r="T18" i="1"/>
  <c r="H19" i="1"/>
  <c r="P19" i="1"/>
  <c r="T19" i="1"/>
  <c r="H20" i="1"/>
  <c r="P20" i="1"/>
  <c r="T20" i="1"/>
  <c r="H21" i="1"/>
  <c r="P21" i="1"/>
  <c r="T21" i="1"/>
  <c r="H22" i="1"/>
  <c r="P22" i="1"/>
  <c r="T22" i="1"/>
  <c r="H23" i="1"/>
  <c r="P23" i="1"/>
  <c r="T23" i="1"/>
  <c r="H24" i="1"/>
  <c r="P24" i="1"/>
  <c r="T24" i="1"/>
  <c r="H25" i="1"/>
  <c r="P25" i="1"/>
  <c r="T25" i="1"/>
  <c r="H26" i="1"/>
  <c r="P26" i="1"/>
  <c r="T26" i="1"/>
  <c r="H27" i="1"/>
  <c r="P27" i="1"/>
  <c r="T27" i="1"/>
  <c r="H28" i="1"/>
  <c r="P28" i="1"/>
  <c r="T28" i="1"/>
  <c r="H29" i="1"/>
  <c r="P29" i="1"/>
  <c r="T29" i="1"/>
  <c r="H30" i="1"/>
  <c r="P30" i="1"/>
  <c r="T30" i="1"/>
  <c r="H31" i="1"/>
  <c r="P31" i="1"/>
  <c r="T31" i="1"/>
  <c r="H32" i="1"/>
  <c r="P32" i="1"/>
  <c r="T32" i="1"/>
  <c r="H33" i="1"/>
  <c r="P33" i="1"/>
  <c r="T33" i="1"/>
  <c r="H34" i="1"/>
  <c r="P34" i="1"/>
  <c r="T34" i="1"/>
  <c r="H35" i="1"/>
  <c r="P35" i="1"/>
  <c r="T35" i="1"/>
  <c r="H36" i="1"/>
  <c r="P36" i="1"/>
  <c r="T36" i="1"/>
  <c r="H37" i="1"/>
  <c r="P37" i="1"/>
  <c r="T37" i="1"/>
  <c r="H38" i="1"/>
  <c r="P38" i="1"/>
  <c r="T38" i="1"/>
  <c r="H39" i="1"/>
  <c r="P39" i="1"/>
  <c r="T39" i="1"/>
  <c r="H40" i="1"/>
  <c r="P40" i="1"/>
  <c r="T40" i="1"/>
  <c r="H41" i="1"/>
  <c r="P41" i="1"/>
  <c r="T41" i="1"/>
  <c r="H42" i="1"/>
  <c r="P42" i="1"/>
  <c r="T42" i="1"/>
  <c r="H43" i="1"/>
  <c r="P43" i="1"/>
  <c r="T43" i="1"/>
  <c r="H44" i="1"/>
  <c r="P44" i="1"/>
  <c r="T44" i="1"/>
  <c r="H45" i="1"/>
  <c r="P45" i="1"/>
  <c r="T45" i="1"/>
  <c r="H46" i="1"/>
  <c r="P46" i="1"/>
  <c r="T46" i="1"/>
  <c r="H47" i="1"/>
  <c r="P47" i="1"/>
  <c r="T47" i="1"/>
  <c r="H48" i="1"/>
  <c r="P48" i="1"/>
  <c r="T48" i="1"/>
  <c r="H49" i="1"/>
  <c r="P49" i="1"/>
  <c r="T49" i="1"/>
  <c r="H50" i="1"/>
  <c r="P50" i="1"/>
  <c r="T50" i="1"/>
  <c r="H51" i="1"/>
  <c r="P51" i="1"/>
  <c r="T51" i="1"/>
  <c r="H52" i="1"/>
  <c r="P52" i="1"/>
  <c r="T52" i="1"/>
  <c r="H53" i="1"/>
  <c r="P53" i="1"/>
  <c r="T53" i="1"/>
</calcChain>
</file>

<file path=xl/sharedStrings.xml><?xml version="1.0" encoding="utf-8"?>
<sst xmlns="http://schemas.openxmlformats.org/spreadsheetml/2006/main" count="659" uniqueCount="101">
  <si>
    <t>Feed Name</t>
  </si>
  <si>
    <t>Mail Object Type</t>
  </si>
  <si>
    <t>Target</t>
  </si>
  <si>
    <t>File Format</t>
  </si>
  <si>
    <t>File Transfer Format</t>
  </si>
  <si>
    <t>Frequency</t>
  </si>
  <si>
    <t>Active</t>
  </si>
  <si>
    <t>CRID</t>
  </si>
  <si>
    <t>Company Name</t>
  </si>
  <si>
    <t>MID(s)</t>
  </si>
  <si>
    <t>STID(s)</t>
  </si>
  <si>
    <t>Routing Code(s)</t>
  </si>
  <si>
    <t>CRID Role</t>
  </si>
  <si>
    <t>Error Type</t>
  </si>
  <si>
    <t>Program Type</t>
  </si>
  <si>
    <t>Subscription Owner CRID</t>
  </si>
  <si>
    <t>Subscription Owner Company Name</t>
  </si>
  <si>
    <t>Data Fields</t>
  </si>
  <si>
    <t>Filters</t>
  </si>
  <si>
    <t>Schedule Start Time</t>
  </si>
  <si>
    <t>Email Notification</t>
  </si>
  <si>
    <t>Handling Event Types</t>
  </si>
  <si>
    <t>Untitled Feed Postage Statement Details  Postage Statement Details</t>
  </si>
  <si>
    <t>DELIMITED</t>
  </si>
  <si>
    <t>Unzipped</t>
  </si>
  <si>
    <t>1 HOURS</t>
  </si>
  <si>
    <t>PORTAL GUARDIAN PRODUCTS</t>
  </si>
  <si>
    <t>All</t>
  </si>
  <si>
    <t>Postage Statement Details</t>
  </si>
  <si>
    <t>ADVERTISING_LBS, AMOUNT_AFFIXED, BALLOON_PRICE, BUNDLE_LEVEL, BUNDLES, CONTAINER_LEVEL, CUST_REF_ID, DESTINATION_TYPE, DIM_WEIGHT_PRICE, DROP_SHIPMENT_PER_SACK, EDOC_SUBMITTER_CRID, EDOC_CRID_CO_NAME, EPS_ACCT_NICKNAME, EPS_ACCT_NUM, FULL_SERVICE, FULL_SERVICE_PER_SACK, ISC_DROP_SHIP, ISC_DROP_SHIP_INCENTIVE, JOB_ID, LINE_COPY, LINE_DISCOUNT_TOTAL, LINE_FEE_TOTAL, LINE_LEVEL_ENTRY, LINE_POSTAGE, LINE_PRICE, LINE_RATE, LINE_SUBTOTAL_POSTAGE, LINE_TOTAL_POSTAGE, LINE_TYPE, MAIL_CLASS, TRAYS, MAIL_CLASS_TYPE, MAIL_ENTRY, MAIL_LEVEL, MAIL_SHAPE, MAIL_ZONE, MAILING_CITY, MAILING_STATE, NONADVERTISING_LBS, NONSUBS_NONREQUESTOR_COPIES, NUM_OF_COPIES, NUMBER_OF_PIECES, NUMBER_OF_SACKS, PALLETS, PERCENT_INCENTIVE, PERMIT_NUM, PERMIT_TYPE, PIECE_PRICE, PIECE_RATE, PIECE_SURCHARGE, PIECES_SUBTOTAL, POSTAGE_INCENTIVE, POSTAGE_STMT_FORM_TYPE, ID, POSTAGE_STMT_ML_DATE, POUND_PRICE, LB_RATE, LBS, LBS_SUBTOTAL, PRESENTATION_CAT, PRESORT_DISCOUNT, PRICE_CATEGORY, PRICE_LEVEL, PROCESSING_CATEGORY, PROMOTION_DISCOUNT, PROMOTION_TYPE, PUBLICATION_NUM, RATE_CATEGORY, SACK_PRICE, SACK_SUBTOTAL, SACK_TOTAL_LBS_OVER11, SACK_TOTAL_LBS_UNDER11, SECTION, SORTATION, STATEMENT_LINE_NUMBER, SUBS_REQUESTOR_COPIES, TRANSACTION_DTM, PAYMENT_ID, ADDRESS_PIECES, USER_LICENSE_CODE, WEIGHT_PRICE, ZIP_OF_VERIFICATION</t>
  </si>
  <si>
    <t>Notify on success: false
Notify on error: false</t>
  </si>
  <si>
    <t>verdigris botanica</t>
  </si>
  <si>
    <t>Untitled Feed Bank Account Withdrawals  Bank Account Withdrawals</t>
  </si>
  <si>
    <t>Bank Account Withdrawals</t>
  </si>
  <si>
    <t>TOTAL_AMOUNT, ACH_DEBIT_TRANS_ID, CREATED_DATE, EPS_ACCT_NICKNAME, EPS_ACCT_NUM, RETURN_DATE, RETURN_MESSAGE</t>
  </si>
  <si>
    <t>Untitled Feed Commercial Postal Store Order Item Details  Commercial Postal Store Order Item Details</t>
  </si>
  <si>
    <t>Commercial Postal Store Order Item Details</t>
  </si>
  <si>
    <t>ID, ITEM_CODE, ITEM_DISPLAY_COST, ITEM_NUMBER, ITEM_QUANTITY, ITEM_QUANTITY_COST, ITEM_STATUS, ITEM_SUB_TYPE, ITEM_TYPE, ITEM_UNIT_COST, PAYMENT_ID</t>
  </si>
  <si>
    <t>Untitled Feed iCAPS Invoices  iCAPS Invoices</t>
  </si>
  <si>
    <t>iCAPS Invoices</t>
  </si>
  <si>
    <t>BILLING_END_DATE, BILLING_START_DATE, INVOICE_DUE_DATE, BALANCE_DUE, INVOICE_ID, INVOICE_PAID_DATE, STATUS</t>
  </si>
  <si>
    <t>Untitled Feed Credit Card Payments  Credit Card Payments</t>
  </si>
  <si>
    <t>Credit Card Payments</t>
  </si>
  <si>
    <t>CCARD_SUBMISSION_ID, GP_ORDER_NUMBER, GLOBAL_TXN_ID, MESSAGE, CREATED_DATE, STATUS, PAYMENT_ID</t>
  </si>
  <si>
    <t>Untitled Feed Transactions Commercial Mailings Transactions</t>
  </si>
  <si>
    <t>commercialMailings</t>
  </si>
  <si>
    <t>Transactions</t>
  </si>
  <si>
    <t>ACH_DEBIT_TRANS_ID, AVAILABLE_BALANCE, BILL_ID, STATE, CUST_REF_ID, VERTICAL_FIELD_1, PAYEE_ID, DEFERRED_PAYMENT_DATE, EDOC_MAILING_DATE, EDOC_SUBMITTER_CRID, EDOC_CRID_CO_NAME, CUSTOMER_NAME, EPS_ACCT_NICKNAME, PAYER_ACCOUNT_NUMBER, INVOICE_ID, JOB_ID, MAIL_ARRIVAL_DATE, MAIL_CLASS, MAIL_SHAPE, MAILING_CITY, MAILING_STATE, NONSTNDRD_NONCOMP, TOTAL_COPIES, TOTAL_PIECES, VERTICAL_FIELD_4, PAYER_ID, PAYMENT_METHOD, PERMIT_HOLDER, PERMIT_NO, PERMIT_TYPE, PRODUCT_NO, POST_STATE_MAILING_DATE, POSTAGE_STATEMENT_NUMBER, PRESENTATION_CAT, PROMOTIONS_DISCOUNT, PROMOTIONS_PIECES_AWARDED, PROMOTIONS_TYPE, PUBLICATION_NUMBER, REFUND_COMMENT, REFUND_REASON, REFUND_TYPE, SPOILAGE_PIECES, AMOUNT, CREATE_TIME, DESCRIPTION, PAYMENT_ID, PAYMENT_TYPE, VERTICAL_FIELD_2, USER_LICENSE_CODE, PERMIT_ZIP</t>
  </si>
  <si>
    <t>Untitled Feed Transactions Address Quality Transactions</t>
  </si>
  <si>
    <t>addressQuality</t>
  </si>
  <si>
    <t>ACH_DEBIT_TRANS_ID, PRODUCT, AVAILABLE_BALANCE, BILL_ID, VERTICAL_FIELD_1, PAYEE_ID, DEFERRED_PAYMENT_DATE, PAYER_ACCOUNT_NUMBER, INVOICE_ID, ORDER_REF_NUMBER, VERTICAL_FIELD_4, PAYER_ID, PAYMENT_METHOD, AMOUNT, CREATE_TIME, DESCRIPTION, PAYMENT_ID, PAYMENT_TYPE, VERTICAL_FIELD_2</t>
  </si>
  <si>
    <t>Untitled Feed Transactions PO Boxes Transactions</t>
  </si>
  <si>
    <t>poBoxes</t>
  </si>
  <si>
    <t>ACH_DEBIT_TRANS_ID, AVAILABLE_BALANCE, BILL_ID, VERTICAL_FIELD_1, PAYEE_ID, DEFERRED_PAYMENT_DATE, PAYER_ACCOUNT_NUMBER, INVOICE_ID, VERTICAL_FIELD_4, PAYER_ID, PAYMENT_METHOD, PO_BOX_CITY, PO_BOX_CRID, PO_BOX_NUMBER, RENEWAL_DATE, PO_BOX_SIZE, PO_BOX_STATE, PO_BOX_ZIP, AMOUNT, CREATE_TIME, DESCRIPTION, PAYMENT_ID, PAYMENT_TYPE, VERTICAL_FIELD_2</t>
  </si>
  <si>
    <t>Untitled Feed Transactions Deposits &amp; Trust Corrections Transactions</t>
  </si>
  <si>
    <t>deposits</t>
  </si>
  <si>
    <t>ACH_DEBIT_TRANS_ID, AVAILABLE_BALANCE, BILL_ID, VERTICAL_FIELD_1, PAYEE_ID, DEFERRED_PAYMENT_DATE, PAYER_ACCOUNT_NUMBER, INVOICE_ID, VERTICAL_FIELD_4, PAYER_ID, PAYMENT_METHOD, RECEIPT_NUMBER, INCIDENT_NUMBER, AMOUNT, TRANSACTION_DATE, CREATE_TIME, DESCRIPTION, PAYMENT_ID, PAYMENT_TYPE, VERTICAL_FIELD_2</t>
  </si>
  <si>
    <t>Untitled Feed Transactions Network Returns Transactions</t>
  </si>
  <si>
    <t>networkReturns</t>
  </si>
  <si>
    <t>ACH_DEBIT_TRANS_ID, AVAILABLE_BALANCE, BILL_ID, VERTICAL_FIELD_1, PAYEE_ID, DISPUTE_ID, DISPUTE_REASON, DEFERRED_PAYMENT_DATE, PAYER_ACCOUNT_NUMBER, INVOICE_ID, MAIL_CLASS_CODE, MAILER_ID, VERTICAL_FIELD_4, PAYER_ID, PAYMENT_METHOD, PIC, STC, BASE_SKU, AMOUNT, CREATE_TIME, DESCRIPTION, PAYMENT_ID, PAYMENT_TYPE, VERTICAL_FIELD_2</t>
  </si>
  <si>
    <t>Untitled Feed Transactions PC Postage Transactions</t>
  </si>
  <si>
    <t>pcPostage</t>
  </si>
  <si>
    <t>ACH_DEBIT_TRANS_ID, AVAILABLE_BALANCE, BILL_ID, VERTICAL_FIELD_1, PAYEE_ID, DEVICE_ID, DEFERRED_PAYMENT_DATE, PAYER_ACCOUNT_NUMBER, INVOICE_ID, VERTICAL_FIELD_4, PAYER_ID, PAYMENT_METHOD, PSD_SERIAL_NUMBER, REQUEST_ID, AMOUNT, CREATE_TIME, DESCRIPTION, PAYMENT_ID, PAYMENT_TYPE, VERTICAL_FIELD_2, VENDOR_ID, VENDOR_NAME</t>
  </si>
  <si>
    <t>Untitled Feed Transactions Outbound Transactions Transactions</t>
  </si>
  <si>
    <t>outboundTrans</t>
  </si>
  <si>
    <t>ACH_DEBIT_TRANS_ID, ADJUSTMENT_DETAILS, ADMIN_FEE_AMOUNT, ASSESSMENT_TYPE, AVAILABLE_BALANCE, BILL_ID, CUST_REF_NUM1, CUST_REF_NUM2, VERTICAL_FIELD_1, PAYEE_ID, DISPUTE_ID, DISPUTE_REASON, DEFERRED_PAYMENT_DATE, EFN, PAYER_ACCOUNT_NUMBER, EXTRA_SERVICE_1_POSTAGE_AMT, EXTRA_SERVICE_1_SKU, EXTRA_SERVICE_2_POSTAGE_AMT, EXTRA_SERVICE_2_SKU, EXTRA_SERVICE_3_POSTAGE_AMT, EXTRA_SERVICE_3_SKU, EXTRA_SERVICE_4_POSTAGE_AMT, EXTRA_SERVICE_4_SKU, EXTRA_SERVICE_5_POSTAGE_AMT, EXTRA_SERVICE_5_SKU, INVOICE_ID, MAIL_CLASS_CODE, MAILER_ID, MAILER_REVIEW_REQUEST_ID, MANIFEST_PACKAGE_ID, MANIFEST_TRANSACTION_ID, MONTHLY_ADJUSTMENT_ID, VERTICAL_FIELD_4, PAYER_ID, PAYMENT_METHOD, PERMIT_FINANCE_NUMBER, PERMIT_NUMBER, PERMIT_TYPE, PIC, STC, BASE_SKU, TOTAL_PACKAGES, AMOUNT, CREATE_TIME, DESCRIPTION, PAYMENT_ID, PAYMENT_TYPE, VERTICAL_FIELD_2, UNMANIFESTED_PACKAGES, UNMANIFESTED_PER_PIECE_FEE, UNMANIFESTED_RATIO</t>
  </si>
  <si>
    <t>Untitled Feed Transactions Commercial Postal Store Transaction Details Transactions</t>
  </si>
  <si>
    <t>cpsTrans</t>
  </si>
  <si>
    <t>ACH_DEBIT_TRANS_ID, AVAILABLE_BALANCE, BILL_ID, ORDER_NUMBER, CUST_COMPANY, VERTICAL_FIELD_1, PAYEE_ID, DEFERRED_PAYMENT_DATE, PAYER_ACCOUNT_NUMBER, INVOICE_ID, ITEM_GROUP_TOTAL, ORDER_HANDLING_TOTAL, ORDER_SHIPPING_TOTAL, ORDER_SUB_TOTAL, ORDER_TAX_TOTAL, ORDER_TOTAL, VERTICAL_FIELD_4, PAYER_ID, PAYMENT_METHOD, PRODUCT, AMOUNT, CREATE_TIME, DESCRIPTION, PAYMENT_ID, PAYMENT_TYPE, VERTICAL_FIELD_2</t>
  </si>
  <si>
    <t>Template Census Attributes</t>
  </si>
  <si>
    <t>excel, lainy, Ver, verdigris botanica, Verdigrisbotanica</t>
  </si>
  <si>
    <t>4 Hours</t>
  </si>
  <si>
    <t>Census Attributes</t>
  </si>
  <si>
    <t>Unknown</t>
  </si>
  <si>
    <t>ASSESSED_POSTAGE, CLAIMED_POSTAGE, DEST_COUNTRY_CODE, ELECTRONIC_FILE_NUM, DTS_FIRST, ZC_ORIGIN, IMPB, DEST_ZIP_CODE, DESTNTN_RATE_IND, DIM_HEIGHT, DIM_LENGTH, CLASS_OF_MAIL, MANIFEST_NONSTNDRD_LENGTH_FEE1, MANIFEST_NONSTNDRD_LENGTH_FEE2, MANIFEST_NONSTNDRD_VOLUME_FEE, WEIGHT, DIM_WIDTH, NONCOMPLIANCE_FEE, PACKAGING, POSTAGE_VARIANCE, PRICE_GROUP, MAC_TYPE_DIM, CAPT_DIM_HT, CAPT_DIM_LEN, ASSD_MC_CODE, SCAN_NONSTNDRD_LENGTH_FEE1, SCAN_NONSTNDRD_LENGTH_FEE2, SCAN_NONSTNDRD_VOLUME_FEE, CAPT_WT, MAC_TYPE_WT, CAPT_DIM_WD, SKU, EPS_TRAN_ID, UPC_CODE, ZONE, CUST_REF_NUM1, CUST_REF_NUM2, ACH_WITHDRAWAL_ID</t>
  </si>
  <si>
    <t>Template Pricing Notification</t>
  </si>
  <si>
    <t>Pricing Notification</t>
  </si>
  <si>
    <t>ASSD_DIM_HT, ASSD_DIM_LEN, ASSD_DIM_WD, ASSD_RATE_TYPE, ASSD_WARNINGS, ASSD_WT_VALUE, ASSD_ZONE, BASE_PRICE, BASE_SKU, CAPT_DIM, CAPT_WT, DEST_COUNTRY_CODE, DTS_FIRST, DTS_PRICING_COMP, EPS_ACC_NAME, EPS_ACC_NUM, ES_AMT, ES_SKU, ES_TYPE, IMPB, MANIFEST_NONSTNDRD_LENGTH_FEE1, MANIFEST_NONSTNDRD_LENGTH_FEE2, MANIFEST_NONSTNDRD_VOLUME_FEE, MC_NAME, MID, NSA_CONTRACT_NUM, PERMIT_FINANCE_NO, PERMIT_NO, PERMIT_TYPE, PIC, PKG_GRP_ID, PRICE_TYPE, STC, TOTAL_POSTAGE, UPC_BARCODE, ZC_DEST, ZC_ORIGIN</t>
  </si>
  <si>
    <t>Template Outbound Transactions Payment Details</t>
  </si>
  <si>
    <t>Outbound Transactions Payment Details</t>
  </si>
  <si>
    <t>ACH_WITHDRAWAL_IND, BASE_POSTAGE, BASE_SKU, CRID, CUSTOMER_REFERENCE1, CUSTOMER_REFERENCE2, DESTINATION_COUNTRY_CODE, DESTINATION_ZIP_CODE, DRI, ELECTRONIC_FILE_NUMBER, ENTRY_FACILITY_ZIPCODE, EPS_ACCOUNT_NICKNAME, EPS_ACCOUNT_NUMBER, EPS_TRANSACTION_DATE, EPS_TRANSACTION_ID, EXTRA_SERVICE_CODE1, EXTRA_SERVICE_CODE2, EXTRA_SERVICE_CODE3, EXTRA_SERVICE_CODE4, EXTRA_SERVICE_CODE5, EXTRA_SERVICE1_POSTAGE_AMOUNT, EXTRA_SERVICE1_SKU, EXTRA_SERVICE2_POSTAGE_AMOUNT, EXTRA_SERVICE2_SKU, EXTRA_SERVICE3_POSTAGE_AMOUNT, EXTRA_SERVICE3_SKU, EXTRA_SERVICE4_POSTAGE_AMOUNT, EXTRA_SERVICE4_SKU, EXTRA_SERVICE5_POSTAGE_AMOUNT, EXTRA_SERVICE5_SKU, FOREIGN_POSTAL_CODE, HEIGHT, IMPB, LENGTH, MAIL_CLASS, MAILER_ID, MAILING_DATE, MANIFEST_DIMENSIONAL_WEIGHT, MANIFEST_DRI, MANIFEST_PACKAGE_ID, MANIFEST_POSTAGE, MANIFEST_RATE_INDICATOR, MANIFEST_TRANSACTION_ID, MASTER_MID, NON_STANDARD_LEN_FEE1, NON_STANDRARD_LEN_FEE2, NON_STANDARD_VOL_FEE, PAYMENT_METHOD, PERMIT_FINANCE_NUMBER, PERMIT_NUMBER, PERMIT_TYPE, PIC, PRICE_TYPE, PROCESSING_CATEGORY, PUBLISHED_PRICE, RATE_INDICATOR, SERVICE_TYPE_CODE, SURCHARGE_SKU, TOTAL_PACKAGES, IS_TPB, TPB_SHIPPER_CRID, TPB_SHIPPER_NAME, TRANSACTION_AMOUNT, TRANSACTION_DESCRIPTION, TRANSACTION_TYPE, TRANSMISSION_DATE, USPS_CALCULATED_TOTAL_POSTAGE, USPS_DIMENSIONAL_WEIGHT, WARNINGS, WEIGHT, WIDTH, ZONE</t>
  </si>
  <si>
    <t>Template Transactions Network Returns</t>
  </si>
  <si>
    <t>4 HOURS</t>
  </si>
  <si>
    <t>Untitled Feed</t>
  </si>
  <si>
    <t>Container</t>
  </si>
  <si>
    <t>excel, lainy, verdigris botanica</t>
  </si>
  <si>
    <t>PKG</t>
  </si>
  <si>
    <t>APPT_ID, CONTR_DESTN_ZIP, CONTR_ID, CSA_AGRM_ID, HDLG_EV_TYPE_DESC, IMCB, JOB_ID, PRNT_CONTR_ID, SIBLING_CONTR_ID, USER_LIC_CODE, FAC_ZIP, SCAN_DTM, FAC_LCLE_KEY, FAC_NAME, OPER_DESC</t>
  </si>
  <si>
    <t>Actual Handling Event, Assumed Actual Handling Event, Assumed Logical Handling Event, Logical Handling Event</t>
  </si>
  <si>
    <t>ACH_DEBIT_TRANS_ID, AVAILABLE_BALANCE, BILL_ID, STATE, CUST_REF_ID, VERTICAL_FIELD_1, PAYEE_ID, DEFERRED_PAYMENT_DATE, EDOC_MAILING_DATE, EDOC_SUBMITTER_CRID, EDOC_CRID_CO_NAME, CUSTOMER_NAME, EPS_ACCT_NICKNAME, PAYER_ACCOUNT_NUMBER, INVOICE_ID, JOB_ID, MAIL_ARRIVAL_DATE, MAIL_CLASS, MAIL_SHAPE, MAILING_CITY, MAILING_STATE, NONSTNDRD_NONCOMP, TOTAL_COPIES, TOTAL_PIECES, VERTICAL_FIELD_4, PAYER_ID, PAYMENT_METHOD, PERMIT_HOLDER, PERMIT_NO, PERMIT_TYPE, PRODUCT_NO, POST_STATE_MAILING_DATE, POSTAGE_STATEMENT_NUMBER, PRESENTATION_CAT, PUBLICATION_NUMBER, REFUND_COMMENT, REFUND_REASON, REFUND_TYPE, SPOILAGE_PIECES, AMOUNT, CREATE_TIME, DESCRIPTION, PAYMENT_ID, PAYMENT_TYPE, VERTICAL_FIELD_2, USER_LICENSE_CODE, PERMIT_ZIP</t>
  </si>
  <si>
    <t>excel, lainy, verdigris botanica, Verdigrisbotanica</t>
  </si>
  <si>
    <t>Prosperity</t>
  </si>
  <si>
    <t>Untitled Feed Full Service MID</t>
  </si>
  <si>
    <t>Bulk Error</t>
  </si>
  <si>
    <t>eDoc Submitter, Mail Preparer, Mail Owner, Transportation Carrier</t>
  </si>
  <si>
    <t>MID</t>
  </si>
  <si>
    <t>Full Service</t>
  </si>
  <si>
    <t>AFCTD_PIECE_CNT, ASSESSABLE_IND, BARCODE_EDOC, BARCODE_CRID, BARCODE_MLR_NAME, BARCODE_MID, CONTR_DESTN_ZIP, CONTR_ID_EDOC, DESTN_ZIP_EDOC, EDOC_SUBMITTER_CRID, EDOC_SUBMITTER_NAME, ERR_CODE, ERR_CREATE_DATE, ERR_DATA, ERR_DEACTIVATION_IND, ERR_DESC, ERR_LVL, ERR_RESOLUTION, ERR_TYPE, FAC_ZIP_EDOC, HU_ID_EDOC, INVC_PER, INVOICED_CRID, INVOICED_MLR_NAME, JOB_ID_EDOC, LOGICAL_HU_IND, ML_CL_EDOC, ML_ONR_CRID, ML_ONR_NAME, ML_PREPARER_CRID, ML_PREPARER_NAME, MAILG_DATE, MAILG_GRP_ID, OVER_TRSHLD_IND, PRMT_PUB_NBR, PIECE_CNT, PIECE_ID, PLD_FAC_ADDR, PLD_FAC_CITY, PLD_FAC_NAME, PLD_FAC_ST, PLD_LCLE_KEY, POSTG_STMT_ID, PRCSG_CAT_EDOC, PROGRAM_NAME, REC_FREQ, SRCE_BATCH_TIME, USER_LIC_CODE</t>
  </si>
  <si>
    <t>JSON_OBJECT</t>
  </si>
  <si>
    <t>VERDIGRIS BOTANICA</t>
  </si>
  <si>
    <t>BARCODE_ID, BARCODE_MAILER_ID, BARCODE_SERIAL_NBR, BRAND_DISPLAY_NAME, CAMPAIGN_CODE, CAMPAIGN_TITLE, DELIVERY_DATE, EDOC_SUBMITTER_CRID, EDOC_SUBMITTER_NAME, EMAIL_ID, END_DATE, END_SERIAL, IMAGE_POSITION_IN_EMAIL, MAIL_OWNER_CRID, MAIL_OWNER_NAME, MAIL_PREPARER_CRID, MAIL_PREPARER_NAME, MAILER_ID, MAILER_NAME, MAILPIECE_ID, RECORD_TYPE, SERVICE_TYPE_CODE, SOURCE, START_DATE, START_SERIAL, STATUS, SUBMITTER_CRID, WHEN_CLICKED_THROUGH, WHEN_EMAIL_WAS_OPENED, WHEN_EMAIL_WAS_SENT, ZIP5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</si>
</sst>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632B-56C3-45E3-9E68-D31E301D8C03}">
  <dimension ref="A1:V53"/>
  <sheetViews>
    <sheetView tabSelected="1" topLeftCell="B26" workbookViewId="0">
      <selection activeCell="U24" sqref="U24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D2" t="s">
        <v>23</v>
      </c>
      <c r="E2" t="s">
        <v>24</v>
      </c>
      <c r="F2" t="s">
        <v>25</v>
      </c>
      <c r="G2" t="b">
        <v>1</v>
      </c>
      <c r="H2" t="str">
        <f t="shared" ref="H2:H33" si="0">"46591065"</f>
        <v>46591065</v>
      </c>
      <c r="I2" t="s">
        <v>26</v>
      </c>
      <c r="J2" t="s">
        <v>27</v>
      </c>
      <c r="K2" t="s">
        <v>27</v>
      </c>
      <c r="O2" t="s">
        <v>28</v>
      </c>
      <c r="P2" t="str">
        <f t="shared" ref="P2:P33" si="1">"46591065"</f>
        <v>46591065</v>
      </c>
      <c r="Q2" t="s">
        <v>26</v>
      </c>
      <c r="R2" t="s">
        <v>29</v>
      </c>
      <c r="T2" t="str">
        <f t="shared" ref="T2:T33" si="2">"0:00 AM (US/Central)"</f>
        <v>0:00 AM (US/Central)</v>
      </c>
      <c r="U2" s="1" t="s">
        <v>30</v>
      </c>
    </row>
    <row r="3" spans="1:22">
      <c r="A3" t="s">
        <v>22</v>
      </c>
      <c r="C3" t="s">
        <v>31</v>
      </c>
      <c r="D3" t="s">
        <v>23</v>
      </c>
      <c r="E3" t="s">
        <v>24</v>
      </c>
      <c r="F3" t="s">
        <v>25</v>
      </c>
      <c r="G3" t="b">
        <v>1</v>
      </c>
      <c r="H3" t="str">
        <f t="shared" si="0"/>
        <v>46591065</v>
      </c>
      <c r="I3" t="s">
        <v>26</v>
      </c>
      <c r="J3" t="s">
        <v>27</v>
      </c>
      <c r="K3" t="s">
        <v>27</v>
      </c>
      <c r="O3" t="s">
        <v>28</v>
      </c>
      <c r="P3" t="str">
        <f t="shared" si="1"/>
        <v>46591065</v>
      </c>
      <c r="Q3" t="s">
        <v>26</v>
      </c>
      <c r="R3" t="s">
        <v>29</v>
      </c>
      <c r="T3" t="str">
        <f t="shared" si="2"/>
        <v>0:00 AM (US/Central)</v>
      </c>
      <c r="U3" s="1" t="s">
        <v>30</v>
      </c>
    </row>
    <row r="4" spans="1:22">
      <c r="A4" t="s">
        <v>32</v>
      </c>
      <c r="C4" t="s">
        <v>31</v>
      </c>
      <c r="D4" t="s">
        <v>23</v>
      </c>
      <c r="E4" t="s">
        <v>24</v>
      </c>
      <c r="F4" t="s">
        <v>25</v>
      </c>
      <c r="G4" t="b">
        <v>1</v>
      </c>
      <c r="H4" t="str">
        <f t="shared" si="0"/>
        <v>46591065</v>
      </c>
      <c r="I4" t="s">
        <v>26</v>
      </c>
      <c r="J4" t="s">
        <v>27</v>
      </c>
      <c r="K4" t="s">
        <v>27</v>
      </c>
      <c r="O4" t="s">
        <v>33</v>
      </c>
      <c r="P4" t="str">
        <f t="shared" si="1"/>
        <v>46591065</v>
      </c>
      <c r="Q4" t="s">
        <v>26</v>
      </c>
      <c r="R4" t="s">
        <v>34</v>
      </c>
      <c r="T4" t="str">
        <f t="shared" si="2"/>
        <v>0:00 AM (US/Central)</v>
      </c>
      <c r="U4" s="1" t="s">
        <v>30</v>
      </c>
    </row>
    <row r="5" spans="1:22">
      <c r="A5" t="s">
        <v>35</v>
      </c>
      <c r="C5" t="s">
        <v>31</v>
      </c>
      <c r="D5" t="s">
        <v>23</v>
      </c>
      <c r="E5" t="s">
        <v>24</v>
      </c>
      <c r="F5" t="s">
        <v>25</v>
      </c>
      <c r="G5" t="b">
        <v>1</v>
      </c>
      <c r="H5" t="str">
        <f t="shared" si="0"/>
        <v>46591065</v>
      </c>
      <c r="I5" t="s">
        <v>26</v>
      </c>
      <c r="J5" t="s">
        <v>27</v>
      </c>
      <c r="K5" t="s">
        <v>27</v>
      </c>
      <c r="O5" t="s">
        <v>36</v>
      </c>
      <c r="P5" t="str">
        <f t="shared" si="1"/>
        <v>46591065</v>
      </c>
      <c r="Q5" t="s">
        <v>26</v>
      </c>
      <c r="R5" t="s">
        <v>37</v>
      </c>
      <c r="T5" t="str">
        <f t="shared" si="2"/>
        <v>0:00 AM (US/Central)</v>
      </c>
      <c r="U5" s="1" t="s">
        <v>30</v>
      </c>
    </row>
    <row r="6" spans="1:22">
      <c r="A6" t="s">
        <v>38</v>
      </c>
      <c r="C6" t="s">
        <v>31</v>
      </c>
      <c r="D6" t="s">
        <v>23</v>
      </c>
      <c r="E6" t="s">
        <v>24</v>
      </c>
      <c r="F6" t="s">
        <v>25</v>
      </c>
      <c r="G6" t="b">
        <v>1</v>
      </c>
      <c r="H6" t="str">
        <f t="shared" si="0"/>
        <v>46591065</v>
      </c>
      <c r="I6" t="s">
        <v>26</v>
      </c>
      <c r="J6" t="s">
        <v>27</v>
      </c>
      <c r="K6" t="s">
        <v>27</v>
      </c>
      <c r="O6" t="s">
        <v>39</v>
      </c>
      <c r="P6" t="str">
        <f t="shared" si="1"/>
        <v>46591065</v>
      </c>
      <c r="Q6" t="s">
        <v>26</v>
      </c>
      <c r="R6" t="s">
        <v>40</v>
      </c>
      <c r="T6" t="str">
        <f t="shared" si="2"/>
        <v>0:00 AM (US/Central)</v>
      </c>
      <c r="U6" s="1" t="s">
        <v>30</v>
      </c>
    </row>
    <row r="7" spans="1:22">
      <c r="A7" t="s">
        <v>41</v>
      </c>
      <c r="C7" t="s">
        <v>31</v>
      </c>
      <c r="D7" t="s">
        <v>23</v>
      </c>
      <c r="E7" t="s">
        <v>24</v>
      </c>
      <c r="F7" t="s">
        <v>25</v>
      </c>
      <c r="G7" t="b">
        <v>1</v>
      </c>
      <c r="H7" t="str">
        <f t="shared" si="0"/>
        <v>46591065</v>
      </c>
      <c r="I7" t="s">
        <v>26</v>
      </c>
      <c r="J7" t="s">
        <v>27</v>
      </c>
      <c r="K7" t="s">
        <v>27</v>
      </c>
      <c r="O7" t="s">
        <v>42</v>
      </c>
      <c r="P7" t="str">
        <f t="shared" si="1"/>
        <v>46591065</v>
      </c>
      <c r="Q7" t="s">
        <v>26</v>
      </c>
      <c r="R7" t="s">
        <v>43</v>
      </c>
      <c r="T7" t="str">
        <f t="shared" si="2"/>
        <v>0:00 AM (US/Central)</v>
      </c>
      <c r="U7" s="1" t="s">
        <v>30</v>
      </c>
    </row>
    <row r="8" spans="1:22">
      <c r="A8" t="s">
        <v>44</v>
      </c>
      <c r="C8" t="s">
        <v>31</v>
      </c>
      <c r="D8" t="s">
        <v>23</v>
      </c>
      <c r="E8" t="s">
        <v>24</v>
      </c>
      <c r="F8" t="s">
        <v>25</v>
      </c>
      <c r="G8" t="b">
        <v>1</v>
      </c>
      <c r="H8" t="str">
        <f t="shared" si="0"/>
        <v>46591065</v>
      </c>
      <c r="I8" t="s">
        <v>26</v>
      </c>
      <c r="J8" t="s">
        <v>27</v>
      </c>
      <c r="K8" t="s">
        <v>27</v>
      </c>
      <c r="N8" t="s">
        <v>45</v>
      </c>
      <c r="O8" t="s">
        <v>46</v>
      </c>
      <c r="P8" t="str">
        <f t="shared" si="1"/>
        <v>46591065</v>
      </c>
      <c r="Q8" t="s">
        <v>26</v>
      </c>
      <c r="R8" t="s">
        <v>47</v>
      </c>
      <c r="T8" t="str">
        <f t="shared" si="2"/>
        <v>0:00 AM (US/Central)</v>
      </c>
      <c r="U8" s="1" t="s">
        <v>30</v>
      </c>
    </row>
    <row r="9" spans="1:22">
      <c r="A9" t="s">
        <v>48</v>
      </c>
      <c r="C9" t="s">
        <v>31</v>
      </c>
      <c r="D9" t="s">
        <v>23</v>
      </c>
      <c r="E9" t="s">
        <v>24</v>
      </c>
      <c r="F9" t="s">
        <v>25</v>
      </c>
      <c r="G9" t="b">
        <v>1</v>
      </c>
      <c r="H9" t="str">
        <f t="shared" si="0"/>
        <v>46591065</v>
      </c>
      <c r="I9" t="s">
        <v>26</v>
      </c>
      <c r="J9" t="s">
        <v>27</v>
      </c>
      <c r="K9" t="s">
        <v>27</v>
      </c>
      <c r="N9" t="s">
        <v>49</v>
      </c>
      <c r="O9" t="s">
        <v>46</v>
      </c>
      <c r="P9" t="str">
        <f t="shared" si="1"/>
        <v>46591065</v>
      </c>
      <c r="Q9" t="s">
        <v>26</v>
      </c>
      <c r="R9" t="s">
        <v>50</v>
      </c>
      <c r="T9" t="str">
        <f t="shared" si="2"/>
        <v>0:00 AM (US/Central)</v>
      </c>
      <c r="U9" s="1" t="s">
        <v>30</v>
      </c>
    </row>
    <row r="10" spans="1:22">
      <c r="A10" t="s">
        <v>51</v>
      </c>
      <c r="C10" t="s">
        <v>31</v>
      </c>
      <c r="D10" t="s">
        <v>23</v>
      </c>
      <c r="E10" t="s">
        <v>24</v>
      </c>
      <c r="F10" t="s">
        <v>25</v>
      </c>
      <c r="G10" t="b">
        <v>1</v>
      </c>
      <c r="H10" t="str">
        <f t="shared" si="0"/>
        <v>46591065</v>
      </c>
      <c r="I10" t="s">
        <v>26</v>
      </c>
      <c r="J10" t="s">
        <v>27</v>
      </c>
      <c r="K10" t="s">
        <v>27</v>
      </c>
      <c r="N10" t="s">
        <v>52</v>
      </c>
      <c r="O10" t="s">
        <v>46</v>
      </c>
      <c r="P10" t="str">
        <f t="shared" si="1"/>
        <v>46591065</v>
      </c>
      <c r="Q10" t="s">
        <v>26</v>
      </c>
      <c r="R10" t="s">
        <v>53</v>
      </c>
      <c r="T10" t="str">
        <f t="shared" si="2"/>
        <v>0:00 AM (US/Central)</v>
      </c>
      <c r="U10" s="1" t="s">
        <v>30</v>
      </c>
    </row>
    <row r="11" spans="1:22">
      <c r="A11" t="s">
        <v>54</v>
      </c>
      <c r="C11" t="s">
        <v>31</v>
      </c>
      <c r="D11" t="s">
        <v>23</v>
      </c>
      <c r="E11" t="s">
        <v>24</v>
      </c>
      <c r="F11" t="s">
        <v>25</v>
      </c>
      <c r="G11" t="b">
        <v>1</v>
      </c>
      <c r="H11" t="str">
        <f t="shared" si="0"/>
        <v>46591065</v>
      </c>
      <c r="I11" t="s">
        <v>26</v>
      </c>
      <c r="J11" t="s">
        <v>27</v>
      </c>
      <c r="K11" t="s">
        <v>27</v>
      </c>
      <c r="N11" t="s">
        <v>55</v>
      </c>
      <c r="O11" t="s">
        <v>46</v>
      </c>
      <c r="P11" t="str">
        <f t="shared" si="1"/>
        <v>46591065</v>
      </c>
      <c r="Q11" t="s">
        <v>26</v>
      </c>
      <c r="R11" t="s">
        <v>56</v>
      </c>
      <c r="T11" t="str">
        <f t="shared" si="2"/>
        <v>0:00 AM (US/Central)</v>
      </c>
      <c r="U11" s="1" t="s">
        <v>30</v>
      </c>
    </row>
    <row r="12" spans="1:22">
      <c r="A12" t="s">
        <v>57</v>
      </c>
      <c r="C12" t="s">
        <v>31</v>
      </c>
      <c r="D12" t="s">
        <v>23</v>
      </c>
      <c r="E12" t="s">
        <v>24</v>
      </c>
      <c r="F12" t="s">
        <v>25</v>
      </c>
      <c r="G12" t="b">
        <v>1</v>
      </c>
      <c r="H12" t="str">
        <f t="shared" si="0"/>
        <v>46591065</v>
      </c>
      <c r="I12" t="s">
        <v>26</v>
      </c>
      <c r="J12" t="s">
        <v>27</v>
      </c>
      <c r="K12" t="s">
        <v>27</v>
      </c>
      <c r="N12" t="s">
        <v>58</v>
      </c>
      <c r="O12" t="s">
        <v>46</v>
      </c>
      <c r="P12" t="str">
        <f t="shared" si="1"/>
        <v>46591065</v>
      </c>
      <c r="Q12" t="s">
        <v>26</v>
      </c>
      <c r="R12" t="s">
        <v>59</v>
      </c>
      <c r="T12" t="str">
        <f t="shared" si="2"/>
        <v>0:00 AM (US/Central)</v>
      </c>
      <c r="U12" s="1" t="s">
        <v>30</v>
      </c>
    </row>
    <row r="13" spans="1:22">
      <c r="A13" t="s">
        <v>60</v>
      </c>
      <c r="C13" t="s">
        <v>31</v>
      </c>
      <c r="D13" t="s">
        <v>23</v>
      </c>
      <c r="E13" t="s">
        <v>24</v>
      </c>
      <c r="F13" t="s">
        <v>25</v>
      </c>
      <c r="G13" t="b">
        <v>1</v>
      </c>
      <c r="H13" t="str">
        <f t="shared" si="0"/>
        <v>46591065</v>
      </c>
      <c r="I13" t="s">
        <v>26</v>
      </c>
      <c r="J13" t="s">
        <v>27</v>
      </c>
      <c r="K13" t="s">
        <v>27</v>
      </c>
      <c r="N13" t="s">
        <v>61</v>
      </c>
      <c r="O13" t="s">
        <v>46</v>
      </c>
      <c r="P13" t="str">
        <f t="shared" si="1"/>
        <v>46591065</v>
      </c>
      <c r="Q13" t="s">
        <v>26</v>
      </c>
      <c r="R13" t="s">
        <v>62</v>
      </c>
      <c r="T13" t="str">
        <f t="shared" si="2"/>
        <v>0:00 AM (US/Central)</v>
      </c>
      <c r="U13" s="1" t="s">
        <v>30</v>
      </c>
    </row>
    <row r="14" spans="1:22">
      <c r="A14" t="s">
        <v>63</v>
      </c>
      <c r="C14" t="s">
        <v>31</v>
      </c>
      <c r="D14" t="s">
        <v>23</v>
      </c>
      <c r="E14" t="s">
        <v>24</v>
      </c>
      <c r="F14" t="s">
        <v>25</v>
      </c>
      <c r="G14" t="b">
        <v>1</v>
      </c>
      <c r="H14" t="str">
        <f t="shared" si="0"/>
        <v>46591065</v>
      </c>
      <c r="I14" t="s">
        <v>26</v>
      </c>
      <c r="J14" t="s">
        <v>27</v>
      </c>
      <c r="K14" t="s">
        <v>27</v>
      </c>
      <c r="N14" t="s">
        <v>64</v>
      </c>
      <c r="O14" t="s">
        <v>46</v>
      </c>
      <c r="P14" t="str">
        <f t="shared" si="1"/>
        <v>46591065</v>
      </c>
      <c r="Q14" t="s">
        <v>26</v>
      </c>
      <c r="R14" t="s">
        <v>65</v>
      </c>
      <c r="T14" t="str">
        <f t="shared" si="2"/>
        <v>0:00 AM (US/Central)</v>
      </c>
      <c r="U14" s="1" t="s">
        <v>30</v>
      </c>
    </row>
    <row r="15" spans="1:22">
      <c r="A15" t="s">
        <v>66</v>
      </c>
      <c r="C15" t="s">
        <v>31</v>
      </c>
      <c r="D15" t="s">
        <v>23</v>
      </c>
      <c r="E15" t="s">
        <v>24</v>
      </c>
      <c r="F15" t="s">
        <v>25</v>
      </c>
      <c r="G15" t="b">
        <v>1</v>
      </c>
      <c r="H15" t="str">
        <f t="shared" si="0"/>
        <v>46591065</v>
      </c>
      <c r="I15" t="s">
        <v>26</v>
      </c>
      <c r="J15" t="s">
        <v>27</v>
      </c>
      <c r="K15" t="s">
        <v>27</v>
      </c>
      <c r="N15" t="s">
        <v>67</v>
      </c>
      <c r="O15" t="s">
        <v>46</v>
      </c>
      <c r="P15" t="str">
        <f t="shared" si="1"/>
        <v>46591065</v>
      </c>
      <c r="Q15" t="s">
        <v>26</v>
      </c>
      <c r="R15" t="s">
        <v>68</v>
      </c>
      <c r="T15" t="str">
        <f t="shared" si="2"/>
        <v>0:00 AM (US/Central)</v>
      </c>
      <c r="U15" s="1" t="s">
        <v>30</v>
      </c>
    </row>
    <row r="16" spans="1:22">
      <c r="A16" t="s">
        <v>69</v>
      </c>
      <c r="C16" t="s">
        <v>70</v>
      </c>
      <c r="D16" t="s">
        <v>23</v>
      </c>
      <c r="E16" t="s">
        <v>24</v>
      </c>
      <c r="F16" t="s">
        <v>71</v>
      </c>
      <c r="G16" t="b">
        <v>1</v>
      </c>
      <c r="H16" t="str">
        <f t="shared" si="0"/>
        <v>46591065</v>
      </c>
      <c r="I16" t="s">
        <v>26</v>
      </c>
      <c r="J16" t="s">
        <v>27</v>
      </c>
      <c r="K16" t="s">
        <v>27</v>
      </c>
      <c r="O16" t="s">
        <v>72</v>
      </c>
      <c r="P16" t="str">
        <f t="shared" si="1"/>
        <v>46591065</v>
      </c>
      <c r="Q16" t="s">
        <v>73</v>
      </c>
      <c r="R16" t="s">
        <v>74</v>
      </c>
      <c r="T16" t="str">
        <f t="shared" si="2"/>
        <v>0:00 AM (US/Central)</v>
      </c>
      <c r="U16" s="1" t="s">
        <v>30</v>
      </c>
    </row>
    <row r="17" spans="1:22">
      <c r="A17" t="s">
        <v>75</v>
      </c>
      <c r="D17" t="s">
        <v>23</v>
      </c>
      <c r="E17" t="s">
        <v>24</v>
      </c>
      <c r="F17" t="s">
        <v>71</v>
      </c>
      <c r="G17" t="b">
        <v>1</v>
      </c>
      <c r="H17" t="str">
        <f t="shared" si="0"/>
        <v>46591065</v>
      </c>
      <c r="I17" t="s">
        <v>26</v>
      </c>
      <c r="J17" t="s">
        <v>27</v>
      </c>
      <c r="K17" t="s">
        <v>27</v>
      </c>
      <c r="O17" t="s">
        <v>76</v>
      </c>
      <c r="P17" t="str">
        <f t="shared" si="1"/>
        <v>46591065</v>
      </c>
      <c r="Q17" t="s">
        <v>73</v>
      </c>
      <c r="R17" t="s">
        <v>77</v>
      </c>
      <c r="T17" t="str">
        <f t="shared" si="2"/>
        <v>0:00 AM (US/Central)</v>
      </c>
      <c r="U17" s="1" t="s">
        <v>30</v>
      </c>
    </row>
    <row r="18" spans="1:22">
      <c r="A18" t="s">
        <v>78</v>
      </c>
      <c r="D18" t="s">
        <v>23</v>
      </c>
      <c r="E18" t="s">
        <v>24</v>
      </c>
      <c r="F18" t="s">
        <v>71</v>
      </c>
      <c r="G18" t="b">
        <v>1</v>
      </c>
      <c r="H18" t="str">
        <f t="shared" si="0"/>
        <v>46591065</v>
      </c>
      <c r="I18" t="s">
        <v>26</v>
      </c>
      <c r="J18" t="s">
        <v>27</v>
      </c>
      <c r="K18" t="s">
        <v>27</v>
      </c>
      <c r="O18" t="s">
        <v>79</v>
      </c>
      <c r="P18" t="str">
        <f t="shared" si="1"/>
        <v>46591065</v>
      </c>
      <c r="Q18" t="s">
        <v>73</v>
      </c>
      <c r="R18" t="s">
        <v>80</v>
      </c>
      <c r="T18" t="str">
        <f t="shared" si="2"/>
        <v>0:00 AM (US/Central)</v>
      </c>
      <c r="U18" s="1" t="s">
        <v>30</v>
      </c>
    </row>
    <row r="19" spans="1:22">
      <c r="A19" t="s">
        <v>81</v>
      </c>
      <c r="D19" t="s">
        <v>23</v>
      </c>
      <c r="E19" t="s">
        <v>24</v>
      </c>
      <c r="F19" t="s">
        <v>82</v>
      </c>
      <c r="G19" t="b">
        <v>1</v>
      </c>
      <c r="H19" t="str">
        <f t="shared" si="0"/>
        <v>46591065</v>
      </c>
      <c r="I19" t="s">
        <v>26</v>
      </c>
      <c r="J19" t="s">
        <v>27</v>
      </c>
      <c r="K19" t="s">
        <v>27</v>
      </c>
      <c r="N19" t="s">
        <v>58</v>
      </c>
      <c r="O19" t="s">
        <v>46</v>
      </c>
      <c r="P19" t="str">
        <f t="shared" si="1"/>
        <v>46591065</v>
      </c>
      <c r="Q19" t="s">
        <v>73</v>
      </c>
      <c r="R19" t="s">
        <v>59</v>
      </c>
      <c r="T19" t="str">
        <f t="shared" si="2"/>
        <v>0:00 AM (US/Central)</v>
      </c>
      <c r="U19" s="1" t="s">
        <v>30</v>
      </c>
    </row>
    <row r="20" spans="1:22">
      <c r="A20" t="s">
        <v>83</v>
      </c>
      <c r="B20" t="s">
        <v>84</v>
      </c>
      <c r="C20" t="s">
        <v>85</v>
      </c>
      <c r="D20" t="s">
        <v>86</v>
      </c>
      <c r="E20" t="s">
        <v>24</v>
      </c>
      <c r="F20" t="s">
        <v>71</v>
      </c>
      <c r="G20" t="b">
        <v>1</v>
      </c>
      <c r="H20" t="str">
        <f t="shared" si="0"/>
        <v>46591065</v>
      </c>
      <c r="I20" t="s">
        <v>26</v>
      </c>
      <c r="J20" t="s">
        <v>27</v>
      </c>
      <c r="K20" t="s">
        <v>27</v>
      </c>
      <c r="P20" t="str">
        <f t="shared" si="1"/>
        <v>46591065</v>
      </c>
      <c r="Q20" t="s">
        <v>26</v>
      </c>
      <c r="R20" t="s">
        <v>87</v>
      </c>
      <c r="T20" t="str">
        <f t="shared" si="2"/>
        <v>0:00 AM (US/Central)</v>
      </c>
      <c r="U20" s="1" t="s">
        <v>30</v>
      </c>
      <c r="V20" t="s">
        <v>88</v>
      </c>
    </row>
    <row r="21" spans="1:22">
      <c r="A21" t="s">
        <v>32</v>
      </c>
      <c r="D21" t="s">
        <v>23</v>
      </c>
      <c r="E21" t="s">
        <v>24</v>
      </c>
      <c r="F21" t="s">
        <v>25</v>
      </c>
      <c r="G21" t="b">
        <v>1</v>
      </c>
      <c r="H21" t="str">
        <f t="shared" si="0"/>
        <v>46591065</v>
      </c>
      <c r="I21" t="s">
        <v>26</v>
      </c>
      <c r="J21" t="s">
        <v>27</v>
      </c>
      <c r="K21" t="s">
        <v>27</v>
      </c>
      <c r="O21" t="s">
        <v>33</v>
      </c>
      <c r="P21" t="str">
        <f t="shared" si="1"/>
        <v>46591065</v>
      </c>
      <c r="Q21" t="s">
        <v>26</v>
      </c>
      <c r="R21" t="s">
        <v>34</v>
      </c>
      <c r="T21" t="str">
        <f t="shared" si="2"/>
        <v>0:00 AM (US/Central)</v>
      </c>
      <c r="U21" s="1" t="s">
        <v>30</v>
      </c>
    </row>
    <row r="22" spans="1:22">
      <c r="A22" t="s">
        <v>38</v>
      </c>
      <c r="D22" t="s">
        <v>23</v>
      </c>
      <c r="E22" t="s">
        <v>24</v>
      </c>
      <c r="F22" t="s">
        <v>25</v>
      </c>
      <c r="G22" t="b">
        <v>1</v>
      </c>
      <c r="H22" t="str">
        <f t="shared" si="0"/>
        <v>46591065</v>
      </c>
      <c r="I22" t="s">
        <v>26</v>
      </c>
      <c r="J22" t="s">
        <v>27</v>
      </c>
      <c r="K22" t="s">
        <v>27</v>
      </c>
      <c r="O22" t="s">
        <v>39</v>
      </c>
      <c r="P22" t="str">
        <f t="shared" si="1"/>
        <v>46591065</v>
      </c>
      <c r="Q22" t="s">
        <v>26</v>
      </c>
      <c r="R22" t="s">
        <v>40</v>
      </c>
      <c r="T22" t="str">
        <f t="shared" si="2"/>
        <v>0:00 AM (US/Central)</v>
      </c>
      <c r="U22" s="1" t="s">
        <v>30</v>
      </c>
    </row>
    <row r="23" spans="1:22">
      <c r="A23" t="s">
        <v>41</v>
      </c>
      <c r="D23" t="s">
        <v>23</v>
      </c>
      <c r="E23" t="s">
        <v>24</v>
      </c>
      <c r="F23" t="s">
        <v>25</v>
      </c>
      <c r="G23" t="b">
        <v>1</v>
      </c>
      <c r="H23" t="str">
        <f t="shared" si="0"/>
        <v>46591065</v>
      </c>
      <c r="I23" t="s">
        <v>26</v>
      </c>
      <c r="J23" t="s">
        <v>27</v>
      </c>
      <c r="K23" t="s">
        <v>27</v>
      </c>
      <c r="O23" t="s">
        <v>42</v>
      </c>
      <c r="P23" t="str">
        <f t="shared" si="1"/>
        <v>46591065</v>
      </c>
      <c r="Q23" t="s">
        <v>26</v>
      </c>
      <c r="R23" t="s">
        <v>43</v>
      </c>
      <c r="T23" t="str">
        <f t="shared" si="2"/>
        <v>0:00 AM (US/Central)</v>
      </c>
      <c r="U23" s="1" t="s">
        <v>30</v>
      </c>
    </row>
    <row r="24" spans="1:22">
      <c r="A24" t="s">
        <v>44</v>
      </c>
      <c r="D24" t="s">
        <v>23</v>
      </c>
      <c r="E24" t="s">
        <v>24</v>
      </c>
      <c r="F24" t="s">
        <v>25</v>
      </c>
      <c r="G24" t="b">
        <v>1</v>
      </c>
      <c r="H24" t="str">
        <f t="shared" si="0"/>
        <v>46591065</v>
      </c>
      <c r="I24" t="s">
        <v>26</v>
      </c>
      <c r="J24" t="s">
        <v>27</v>
      </c>
      <c r="K24" t="s">
        <v>27</v>
      </c>
      <c r="N24" t="s">
        <v>45</v>
      </c>
      <c r="O24" t="s">
        <v>46</v>
      </c>
      <c r="P24" t="str">
        <f t="shared" si="1"/>
        <v>46591065</v>
      </c>
      <c r="Q24" t="s">
        <v>26</v>
      </c>
      <c r="R24" t="s">
        <v>47</v>
      </c>
      <c r="T24" t="str">
        <f t="shared" si="2"/>
        <v>0:00 AM (US/Central)</v>
      </c>
      <c r="U24" s="1" t="s">
        <v>30</v>
      </c>
    </row>
    <row r="25" spans="1:22">
      <c r="A25" t="s">
        <v>60</v>
      </c>
      <c r="D25" t="s">
        <v>23</v>
      </c>
      <c r="E25" t="s">
        <v>24</v>
      </c>
      <c r="F25" t="s">
        <v>25</v>
      </c>
      <c r="G25" t="b">
        <v>1</v>
      </c>
      <c r="H25" t="str">
        <f t="shared" si="0"/>
        <v>46591065</v>
      </c>
      <c r="I25" t="s">
        <v>26</v>
      </c>
      <c r="J25" t="s">
        <v>27</v>
      </c>
      <c r="K25" t="s">
        <v>27</v>
      </c>
      <c r="N25" t="s">
        <v>61</v>
      </c>
      <c r="O25" t="s">
        <v>46</v>
      </c>
      <c r="P25" t="str">
        <f t="shared" si="1"/>
        <v>46591065</v>
      </c>
      <c r="Q25" t="s">
        <v>26</v>
      </c>
      <c r="R25" t="s">
        <v>62</v>
      </c>
      <c r="T25" t="str">
        <f t="shared" si="2"/>
        <v>0:00 AM (US/Central)</v>
      </c>
      <c r="U25" s="1" t="s">
        <v>30</v>
      </c>
    </row>
    <row r="26" spans="1:22">
      <c r="A26" t="s">
        <v>35</v>
      </c>
      <c r="D26" t="s">
        <v>23</v>
      </c>
      <c r="E26" t="s">
        <v>24</v>
      </c>
      <c r="F26" t="s">
        <v>25</v>
      </c>
      <c r="G26" t="b">
        <v>1</v>
      </c>
      <c r="H26" t="str">
        <f t="shared" si="0"/>
        <v>46591065</v>
      </c>
      <c r="I26" t="s">
        <v>26</v>
      </c>
      <c r="J26" t="s">
        <v>27</v>
      </c>
      <c r="K26" t="s">
        <v>27</v>
      </c>
      <c r="O26" t="s">
        <v>36</v>
      </c>
      <c r="P26" t="str">
        <f t="shared" si="1"/>
        <v>46591065</v>
      </c>
      <c r="Q26" t="s">
        <v>26</v>
      </c>
      <c r="R26" t="s">
        <v>37</v>
      </c>
      <c r="T26" t="str">
        <f t="shared" si="2"/>
        <v>0:00 AM (US/Central)</v>
      </c>
      <c r="U26" s="1" t="s">
        <v>30</v>
      </c>
    </row>
    <row r="27" spans="1:22">
      <c r="A27" t="s">
        <v>51</v>
      </c>
      <c r="D27" t="s">
        <v>23</v>
      </c>
      <c r="E27" t="s">
        <v>24</v>
      </c>
      <c r="F27" t="s">
        <v>25</v>
      </c>
      <c r="G27" t="b">
        <v>1</v>
      </c>
      <c r="H27" t="str">
        <f t="shared" si="0"/>
        <v>46591065</v>
      </c>
      <c r="I27" t="s">
        <v>26</v>
      </c>
      <c r="J27" t="s">
        <v>27</v>
      </c>
      <c r="K27" t="s">
        <v>27</v>
      </c>
      <c r="N27" t="s">
        <v>52</v>
      </c>
      <c r="O27" t="s">
        <v>46</v>
      </c>
      <c r="P27" t="str">
        <f t="shared" si="1"/>
        <v>46591065</v>
      </c>
      <c r="Q27" t="s">
        <v>26</v>
      </c>
      <c r="R27" t="s">
        <v>53</v>
      </c>
      <c r="T27" t="str">
        <f t="shared" si="2"/>
        <v>0:00 AM (US/Central)</v>
      </c>
      <c r="U27" s="1" t="s">
        <v>30</v>
      </c>
    </row>
    <row r="28" spans="1:22">
      <c r="A28" t="s">
        <v>22</v>
      </c>
      <c r="D28" t="s">
        <v>23</v>
      </c>
      <c r="E28" t="s">
        <v>24</v>
      </c>
      <c r="F28" t="s">
        <v>25</v>
      </c>
      <c r="G28" t="b">
        <v>1</v>
      </c>
      <c r="H28" t="str">
        <f t="shared" si="0"/>
        <v>46591065</v>
      </c>
      <c r="I28" t="s">
        <v>26</v>
      </c>
      <c r="J28" t="s">
        <v>27</v>
      </c>
      <c r="K28" t="s">
        <v>27</v>
      </c>
      <c r="O28" t="s">
        <v>28</v>
      </c>
      <c r="P28" t="str">
        <f t="shared" si="1"/>
        <v>46591065</v>
      </c>
      <c r="Q28" t="s">
        <v>26</v>
      </c>
      <c r="R28" t="s">
        <v>29</v>
      </c>
      <c r="T28" t="str">
        <f t="shared" si="2"/>
        <v>0:00 AM (US/Central)</v>
      </c>
      <c r="U28" s="1" t="s">
        <v>30</v>
      </c>
    </row>
    <row r="29" spans="1:22">
      <c r="A29" t="s">
        <v>54</v>
      </c>
      <c r="D29" t="s">
        <v>23</v>
      </c>
      <c r="E29" t="s">
        <v>24</v>
      </c>
      <c r="F29" t="s">
        <v>25</v>
      </c>
      <c r="G29" t="b">
        <v>1</v>
      </c>
      <c r="H29" t="str">
        <f t="shared" si="0"/>
        <v>46591065</v>
      </c>
      <c r="I29" t="s">
        <v>26</v>
      </c>
      <c r="J29" t="s">
        <v>27</v>
      </c>
      <c r="K29" t="s">
        <v>27</v>
      </c>
      <c r="N29" t="s">
        <v>55</v>
      </c>
      <c r="O29" t="s">
        <v>46</v>
      </c>
      <c r="P29" t="str">
        <f t="shared" si="1"/>
        <v>46591065</v>
      </c>
      <c r="Q29" t="s">
        <v>26</v>
      </c>
      <c r="R29" t="s">
        <v>56</v>
      </c>
      <c r="T29" t="str">
        <f t="shared" si="2"/>
        <v>0:00 AM (US/Central)</v>
      </c>
      <c r="U29" s="1" t="s">
        <v>30</v>
      </c>
    </row>
    <row r="30" spans="1:22">
      <c r="A30" t="s">
        <v>66</v>
      </c>
      <c r="D30" t="s">
        <v>23</v>
      </c>
      <c r="E30" t="s">
        <v>24</v>
      </c>
      <c r="F30" t="s">
        <v>25</v>
      </c>
      <c r="G30" t="b">
        <v>1</v>
      </c>
      <c r="H30" t="str">
        <f t="shared" si="0"/>
        <v>46591065</v>
      </c>
      <c r="I30" t="s">
        <v>26</v>
      </c>
      <c r="J30" t="s">
        <v>27</v>
      </c>
      <c r="K30" t="s">
        <v>27</v>
      </c>
      <c r="N30" t="s">
        <v>67</v>
      </c>
      <c r="O30" t="s">
        <v>46</v>
      </c>
      <c r="P30" t="str">
        <f t="shared" si="1"/>
        <v>46591065</v>
      </c>
      <c r="Q30" t="s">
        <v>26</v>
      </c>
      <c r="R30" t="s">
        <v>68</v>
      </c>
      <c r="T30" t="str">
        <f t="shared" si="2"/>
        <v>0:00 AM (US/Central)</v>
      </c>
      <c r="U30" s="1" t="s">
        <v>30</v>
      </c>
    </row>
    <row r="31" spans="1:22">
      <c r="A31" t="s">
        <v>63</v>
      </c>
      <c r="D31" t="s">
        <v>23</v>
      </c>
      <c r="E31" t="s">
        <v>24</v>
      </c>
      <c r="F31" t="s">
        <v>25</v>
      </c>
      <c r="G31" t="b">
        <v>1</v>
      </c>
      <c r="H31" t="str">
        <f t="shared" si="0"/>
        <v>46591065</v>
      </c>
      <c r="I31" t="s">
        <v>26</v>
      </c>
      <c r="J31" t="s">
        <v>27</v>
      </c>
      <c r="K31" t="s">
        <v>27</v>
      </c>
      <c r="N31" t="s">
        <v>64</v>
      </c>
      <c r="O31" t="s">
        <v>46</v>
      </c>
      <c r="P31" t="str">
        <f t="shared" si="1"/>
        <v>46591065</v>
      </c>
      <c r="Q31" t="s">
        <v>26</v>
      </c>
      <c r="R31" t="s">
        <v>65</v>
      </c>
      <c r="T31" t="str">
        <f t="shared" si="2"/>
        <v>0:00 AM (US/Central)</v>
      </c>
      <c r="U31" s="1" t="s">
        <v>30</v>
      </c>
    </row>
    <row r="32" spans="1:22">
      <c r="A32" t="s">
        <v>22</v>
      </c>
      <c r="C32" t="s">
        <v>85</v>
      </c>
      <c r="D32" t="s">
        <v>23</v>
      </c>
      <c r="E32" t="s">
        <v>24</v>
      </c>
      <c r="F32" t="s">
        <v>25</v>
      </c>
      <c r="G32" t="b">
        <v>1</v>
      </c>
      <c r="H32" t="str">
        <f t="shared" si="0"/>
        <v>46591065</v>
      </c>
      <c r="I32" t="s">
        <v>26</v>
      </c>
      <c r="J32" t="s">
        <v>27</v>
      </c>
      <c r="K32" t="s">
        <v>27</v>
      </c>
      <c r="O32" t="s">
        <v>28</v>
      </c>
      <c r="P32" t="str">
        <f t="shared" si="1"/>
        <v>46591065</v>
      </c>
      <c r="Q32" t="s">
        <v>26</v>
      </c>
      <c r="R32" t="s">
        <v>29</v>
      </c>
      <c r="T32" t="str">
        <f t="shared" si="2"/>
        <v>0:00 AM (US/Central)</v>
      </c>
      <c r="U32" s="1" t="s">
        <v>30</v>
      </c>
    </row>
    <row r="33" spans="1:21">
      <c r="A33" t="s">
        <v>44</v>
      </c>
      <c r="C33" t="s">
        <v>85</v>
      </c>
      <c r="D33" t="s">
        <v>23</v>
      </c>
      <c r="E33" t="s">
        <v>24</v>
      </c>
      <c r="F33" t="s">
        <v>25</v>
      </c>
      <c r="G33" t="b">
        <v>1</v>
      </c>
      <c r="H33" t="str">
        <f t="shared" si="0"/>
        <v>46591065</v>
      </c>
      <c r="I33" t="s">
        <v>26</v>
      </c>
      <c r="J33" t="s">
        <v>27</v>
      </c>
      <c r="K33" t="s">
        <v>27</v>
      </c>
      <c r="N33" t="s">
        <v>45</v>
      </c>
      <c r="O33" t="s">
        <v>46</v>
      </c>
      <c r="P33" t="str">
        <f t="shared" si="1"/>
        <v>46591065</v>
      </c>
      <c r="Q33" t="s">
        <v>26</v>
      </c>
      <c r="R33" t="s">
        <v>89</v>
      </c>
      <c r="T33" t="str">
        <f t="shared" si="2"/>
        <v>0:00 AM (US/Central)</v>
      </c>
      <c r="U33" s="1" t="s">
        <v>30</v>
      </c>
    </row>
    <row r="34" spans="1:21">
      <c r="A34" t="s">
        <v>32</v>
      </c>
      <c r="C34" t="s">
        <v>90</v>
      </c>
      <c r="D34" t="s">
        <v>23</v>
      </c>
      <c r="E34" t="s">
        <v>24</v>
      </c>
      <c r="F34" t="s">
        <v>25</v>
      </c>
      <c r="G34" t="b">
        <v>1</v>
      </c>
      <c r="H34" t="str">
        <f t="shared" ref="H34:H52" si="3">"46591065"</f>
        <v>46591065</v>
      </c>
      <c r="I34" t="s">
        <v>26</v>
      </c>
      <c r="J34" t="s">
        <v>27</v>
      </c>
      <c r="K34" t="s">
        <v>27</v>
      </c>
      <c r="O34" t="s">
        <v>33</v>
      </c>
      <c r="P34" t="str">
        <f t="shared" ref="P34:P52" si="4">"46591065"</f>
        <v>46591065</v>
      </c>
      <c r="Q34" t="s">
        <v>26</v>
      </c>
      <c r="R34" t="s">
        <v>34</v>
      </c>
      <c r="T34" t="str">
        <f t="shared" ref="T34:T53" si="5">"0:00 AM (US/Central)"</f>
        <v>0:00 AM (US/Central)</v>
      </c>
      <c r="U34" s="1" t="s">
        <v>30</v>
      </c>
    </row>
    <row r="35" spans="1:21">
      <c r="A35" t="s">
        <v>22</v>
      </c>
      <c r="C35" t="s">
        <v>90</v>
      </c>
      <c r="D35" t="s">
        <v>23</v>
      </c>
      <c r="E35" t="s">
        <v>24</v>
      </c>
      <c r="F35" t="s">
        <v>25</v>
      </c>
      <c r="G35" t="b">
        <v>1</v>
      </c>
      <c r="H35" t="str">
        <f t="shared" si="3"/>
        <v>46591065</v>
      </c>
      <c r="I35" t="s">
        <v>26</v>
      </c>
      <c r="J35" t="s">
        <v>27</v>
      </c>
      <c r="K35" t="s">
        <v>27</v>
      </c>
      <c r="O35" t="s">
        <v>28</v>
      </c>
      <c r="P35" t="str">
        <f t="shared" si="4"/>
        <v>46591065</v>
      </c>
      <c r="Q35" t="s">
        <v>26</v>
      </c>
      <c r="R35" t="s">
        <v>29</v>
      </c>
      <c r="T35" t="str">
        <f t="shared" si="5"/>
        <v>0:00 AM (US/Central)</v>
      </c>
      <c r="U35" s="1" t="s">
        <v>30</v>
      </c>
    </row>
    <row r="36" spans="1:21">
      <c r="A36" t="s">
        <v>35</v>
      </c>
      <c r="C36" t="s">
        <v>90</v>
      </c>
      <c r="D36" t="s">
        <v>23</v>
      </c>
      <c r="E36" t="s">
        <v>24</v>
      </c>
      <c r="F36" t="s">
        <v>25</v>
      </c>
      <c r="G36" t="b">
        <v>1</v>
      </c>
      <c r="H36" t="str">
        <f t="shared" si="3"/>
        <v>46591065</v>
      </c>
      <c r="I36" t="s">
        <v>26</v>
      </c>
      <c r="J36" t="s">
        <v>27</v>
      </c>
      <c r="K36" t="s">
        <v>27</v>
      </c>
      <c r="O36" t="s">
        <v>36</v>
      </c>
      <c r="P36" t="str">
        <f t="shared" si="4"/>
        <v>46591065</v>
      </c>
      <c r="Q36" t="s">
        <v>26</v>
      </c>
      <c r="R36" t="s">
        <v>37</v>
      </c>
      <c r="T36" t="str">
        <f t="shared" si="5"/>
        <v>0:00 AM (US/Central)</v>
      </c>
      <c r="U36" s="1" t="s">
        <v>30</v>
      </c>
    </row>
    <row r="37" spans="1:21">
      <c r="A37" t="s">
        <v>38</v>
      </c>
      <c r="C37" t="s">
        <v>90</v>
      </c>
      <c r="D37" t="s">
        <v>23</v>
      </c>
      <c r="E37" t="s">
        <v>24</v>
      </c>
      <c r="F37" t="s">
        <v>25</v>
      </c>
      <c r="G37" t="b">
        <v>1</v>
      </c>
      <c r="H37" t="str">
        <f t="shared" si="3"/>
        <v>46591065</v>
      </c>
      <c r="I37" t="s">
        <v>26</v>
      </c>
      <c r="J37" t="s">
        <v>27</v>
      </c>
      <c r="K37" t="s">
        <v>27</v>
      </c>
      <c r="O37" t="s">
        <v>39</v>
      </c>
      <c r="P37" t="str">
        <f t="shared" si="4"/>
        <v>46591065</v>
      </c>
      <c r="Q37" t="s">
        <v>26</v>
      </c>
      <c r="R37" t="s">
        <v>40</v>
      </c>
      <c r="T37" t="str">
        <f t="shared" si="5"/>
        <v>0:00 AM (US/Central)</v>
      </c>
      <c r="U37" s="1" t="s">
        <v>30</v>
      </c>
    </row>
    <row r="38" spans="1:21">
      <c r="A38" t="s">
        <v>41</v>
      </c>
      <c r="C38" t="s">
        <v>90</v>
      </c>
      <c r="D38" t="s">
        <v>23</v>
      </c>
      <c r="E38" t="s">
        <v>24</v>
      </c>
      <c r="F38" t="s">
        <v>25</v>
      </c>
      <c r="G38" t="b">
        <v>1</v>
      </c>
      <c r="H38" t="str">
        <f t="shared" si="3"/>
        <v>46591065</v>
      </c>
      <c r="I38" t="s">
        <v>26</v>
      </c>
      <c r="J38" t="s">
        <v>27</v>
      </c>
      <c r="K38" t="s">
        <v>27</v>
      </c>
      <c r="O38" t="s">
        <v>42</v>
      </c>
      <c r="P38" t="str">
        <f t="shared" si="4"/>
        <v>46591065</v>
      </c>
      <c r="Q38" t="s">
        <v>26</v>
      </c>
      <c r="R38" t="s">
        <v>43</v>
      </c>
      <c r="T38" t="str">
        <f t="shared" si="5"/>
        <v>0:00 AM (US/Central)</v>
      </c>
      <c r="U38" s="1" t="s">
        <v>30</v>
      </c>
    </row>
    <row r="39" spans="1:21">
      <c r="A39" t="s">
        <v>44</v>
      </c>
      <c r="C39" t="s">
        <v>90</v>
      </c>
      <c r="D39" t="s">
        <v>23</v>
      </c>
      <c r="E39" t="s">
        <v>24</v>
      </c>
      <c r="F39" t="s">
        <v>25</v>
      </c>
      <c r="G39" t="b">
        <v>1</v>
      </c>
      <c r="H39" t="str">
        <f t="shared" si="3"/>
        <v>46591065</v>
      </c>
      <c r="I39" t="s">
        <v>26</v>
      </c>
      <c r="J39" t="s">
        <v>27</v>
      </c>
      <c r="K39" t="s">
        <v>27</v>
      </c>
      <c r="N39" t="s">
        <v>45</v>
      </c>
      <c r="O39" t="s">
        <v>46</v>
      </c>
      <c r="P39" t="str">
        <f t="shared" si="4"/>
        <v>46591065</v>
      </c>
      <c r="Q39" t="s">
        <v>26</v>
      </c>
      <c r="R39" t="s">
        <v>47</v>
      </c>
      <c r="T39" t="str">
        <f t="shared" si="5"/>
        <v>0:00 AM (US/Central)</v>
      </c>
      <c r="U39" s="1" t="s">
        <v>30</v>
      </c>
    </row>
    <row r="40" spans="1:21">
      <c r="A40" t="s">
        <v>48</v>
      </c>
      <c r="C40" t="s">
        <v>90</v>
      </c>
      <c r="D40" t="s">
        <v>23</v>
      </c>
      <c r="E40" t="s">
        <v>24</v>
      </c>
      <c r="F40" t="s">
        <v>25</v>
      </c>
      <c r="G40" t="b">
        <v>1</v>
      </c>
      <c r="H40" t="str">
        <f t="shared" si="3"/>
        <v>46591065</v>
      </c>
      <c r="I40" t="s">
        <v>26</v>
      </c>
      <c r="J40" t="s">
        <v>27</v>
      </c>
      <c r="K40" t="s">
        <v>27</v>
      </c>
      <c r="N40" t="s">
        <v>49</v>
      </c>
      <c r="O40" t="s">
        <v>46</v>
      </c>
      <c r="P40" t="str">
        <f t="shared" si="4"/>
        <v>46591065</v>
      </c>
      <c r="Q40" t="s">
        <v>26</v>
      </c>
      <c r="R40" t="s">
        <v>50</v>
      </c>
      <c r="T40" t="str">
        <f t="shared" si="5"/>
        <v>0:00 AM (US/Central)</v>
      </c>
      <c r="U40" s="1" t="s">
        <v>30</v>
      </c>
    </row>
    <row r="41" spans="1:21">
      <c r="A41" t="s">
        <v>57</v>
      </c>
      <c r="C41" t="s">
        <v>90</v>
      </c>
      <c r="D41" t="s">
        <v>23</v>
      </c>
      <c r="E41" t="s">
        <v>24</v>
      </c>
      <c r="F41" t="s">
        <v>25</v>
      </c>
      <c r="G41" t="b">
        <v>1</v>
      </c>
      <c r="H41" t="str">
        <f t="shared" si="3"/>
        <v>46591065</v>
      </c>
      <c r="I41" t="s">
        <v>26</v>
      </c>
      <c r="J41" t="s">
        <v>27</v>
      </c>
      <c r="K41" t="s">
        <v>27</v>
      </c>
      <c r="N41" t="s">
        <v>58</v>
      </c>
      <c r="O41" t="s">
        <v>46</v>
      </c>
      <c r="P41" t="str">
        <f t="shared" si="4"/>
        <v>46591065</v>
      </c>
      <c r="Q41" t="s">
        <v>26</v>
      </c>
      <c r="R41" t="s">
        <v>59</v>
      </c>
      <c r="T41" t="str">
        <f t="shared" si="5"/>
        <v>0:00 AM (US/Central)</v>
      </c>
      <c r="U41" s="1" t="s">
        <v>30</v>
      </c>
    </row>
    <row r="42" spans="1:21">
      <c r="A42" t="s">
        <v>60</v>
      </c>
      <c r="C42" t="s">
        <v>90</v>
      </c>
      <c r="D42" t="s">
        <v>23</v>
      </c>
      <c r="E42" t="s">
        <v>24</v>
      </c>
      <c r="F42" t="s">
        <v>25</v>
      </c>
      <c r="G42" t="b">
        <v>1</v>
      </c>
      <c r="H42" t="str">
        <f t="shared" si="3"/>
        <v>46591065</v>
      </c>
      <c r="I42" t="s">
        <v>26</v>
      </c>
      <c r="J42" t="s">
        <v>27</v>
      </c>
      <c r="K42" t="s">
        <v>27</v>
      </c>
      <c r="N42" t="s">
        <v>61</v>
      </c>
      <c r="O42" t="s">
        <v>46</v>
      </c>
      <c r="P42" t="str">
        <f t="shared" si="4"/>
        <v>46591065</v>
      </c>
      <c r="Q42" t="s">
        <v>26</v>
      </c>
      <c r="R42" t="s">
        <v>62</v>
      </c>
      <c r="T42" t="str">
        <f t="shared" si="5"/>
        <v>0:00 AM (US/Central)</v>
      </c>
      <c r="U42" s="1" t="s">
        <v>30</v>
      </c>
    </row>
    <row r="43" spans="1:21">
      <c r="A43" t="s">
        <v>51</v>
      </c>
      <c r="C43" t="s">
        <v>90</v>
      </c>
      <c r="D43" t="s">
        <v>23</v>
      </c>
      <c r="E43" t="s">
        <v>24</v>
      </c>
      <c r="F43" t="s">
        <v>25</v>
      </c>
      <c r="G43" t="b">
        <v>1</v>
      </c>
      <c r="H43" t="str">
        <f t="shared" si="3"/>
        <v>46591065</v>
      </c>
      <c r="I43" t="s">
        <v>26</v>
      </c>
      <c r="J43" t="s">
        <v>27</v>
      </c>
      <c r="K43" t="s">
        <v>27</v>
      </c>
      <c r="N43" t="s">
        <v>52</v>
      </c>
      <c r="O43" t="s">
        <v>46</v>
      </c>
      <c r="P43" t="str">
        <f t="shared" si="4"/>
        <v>46591065</v>
      </c>
      <c r="Q43" t="s">
        <v>26</v>
      </c>
      <c r="R43" t="s">
        <v>53</v>
      </c>
      <c r="T43" t="str">
        <f t="shared" si="5"/>
        <v>0:00 AM (US/Central)</v>
      </c>
      <c r="U43" s="1" t="s">
        <v>30</v>
      </c>
    </row>
    <row r="44" spans="1:21">
      <c r="A44" t="s">
        <v>66</v>
      </c>
      <c r="C44" t="s">
        <v>90</v>
      </c>
      <c r="D44" t="s">
        <v>23</v>
      </c>
      <c r="E44" t="s">
        <v>24</v>
      </c>
      <c r="F44" t="s">
        <v>25</v>
      </c>
      <c r="G44" t="b">
        <v>1</v>
      </c>
      <c r="H44" t="str">
        <f t="shared" si="3"/>
        <v>46591065</v>
      </c>
      <c r="I44" t="s">
        <v>26</v>
      </c>
      <c r="J44" t="s">
        <v>27</v>
      </c>
      <c r="K44" t="s">
        <v>27</v>
      </c>
      <c r="N44" t="s">
        <v>67</v>
      </c>
      <c r="O44" t="s">
        <v>46</v>
      </c>
      <c r="P44" t="str">
        <f t="shared" si="4"/>
        <v>46591065</v>
      </c>
      <c r="Q44" t="s">
        <v>26</v>
      </c>
      <c r="R44" t="s">
        <v>68</v>
      </c>
      <c r="T44" t="str">
        <f t="shared" si="5"/>
        <v>0:00 AM (US/Central)</v>
      </c>
      <c r="U44" s="1" t="s">
        <v>30</v>
      </c>
    </row>
    <row r="45" spans="1:21">
      <c r="A45" t="s">
        <v>63</v>
      </c>
      <c r="C45" t="s">
        <v>90</v>
      </c>
      <c r="D45" t="s">
        <v>23</v>
      </c>
      <c r="E45" t="s">
        <v>24</v>
      </c>
      <c r="F45" t="s">
        <v>25</v>
      </c>
      <c r="G45" t="b">
        <v>1</v>
      </c>
      <c r="H45" t="str">
        <f t="shared" si="3"/>
        <v>46591065</v>
      </c>
      <c r="I45" t="s">
        <v>26</v>
      </c>
      <c r="J45" t="s">
        <v>27</v>
      </c>
      <c r="K45" t="s">
        <v>27</v>
      </c>
      <c r="N45" t="s">
        <v>64</v>
      </c>
      <c r="O45" t="s">
        <v>46</v>
      </c>
      <c r="P45" t="str">
        <f t="shared" si="4"/>
        <v>46591065</v>
      </c>
      <c r="Q45" t="s">
        <v>26</v>
      </c>
      <c r="R45" t="s">
        <v>65</v>
      </c>
      <c r="T45" t="str">
        <f t="shared" si="5"/>
        <v>0:00 AM (US/Central)</v>
      </c>
      <c r="U45" s="1" t="s">
        <v>30</v>
      </c>
    </row>
    <row r="46" spans="1:21">
      <c r="A46" t="s">
        <v>54</v>
      </c>
      <c r="C46" t="s">
        <v>90</v>
      </c>
      <c r="D46" t="s">
        <v>23</v>
      </c>
      <c r="E46" t="s">
        <v>24</v>
      </c>
      <c r="F46" t="s">
        <v>25</v>
      </c>
      <c r="G46" t="b">
        <v>1</v>
      </c>
      <c r="H46" t="str">
        <f t="shared" si="3"/>
        <v>46591065</v>
      </c>
      <c r="I46" t="s">
        <v>26</v>
      </c>
      <c r="J46" t="s">
        <v>27</v>
      </c>
      <c r="K46" t="s">
        <v>27</v>
      </c>
      <c r="N46" t="s">
        <v>55</v>
      </c>
      <c r="O46" t="s">
        <v>46</v>
      </c>
      <c r="P46" t="str">
        <f t="shared" si="4"/>
        <v>46591065</v>
      </c>
      <c r="Q46" t="s">
        <v>26</v>
      </c>
      <c r="R46" t="s">
        <v>56</v>
      </c>
      <c r="T46" t="str">
        <f t="shared" si="5"/>
        <v>0:00 AM (US/Central)</v>
      </c>
      <c r="U46" s="1" t="s">
        <v>30</v>
      </c>
    </row>
    <row r="47" spans="1:21">
      <c r="A47" t="s">
        <v>22</v>
      </c>
      <c r="C47" t="s">
        <v>70</v>
      </c>
      <c r="D47" t="s">
        <v>23</v>
      </c>
      <c r="E47" t="s">
        <v>24</v>
      </c>
      <c r="F47" t="s">
        <v>25</v>
      </c>
      <c r="G47" t="b">
        <v>1</v>
      </c>
      <c r="H47" t="str">
        <f t="shared" si="3"/>
        <v>46591065</v>
      </c>
      <c r="I47" t="s">
        <v>26</v>
      </c>
      <c r="J47" t="s">
        <v>27</v>
      </c>
      <c r="K47" t="s">
        <v>27</v>
      </c>
      <c r="O47" t="s">
        <v>28</v>
      </c>
      <c r="P47" t="str">
        <f t="shared" si="4"/>
        <v>46591065</v>
      </c>
      <c r="Q47" t="s">
        <v>26</v>
      </c>
      <c r="R47" t="s">
        <v>29</v>
      </c>
      <c r="T47" t="str">
        <f t="shared" si="5"/>
        <v>0:00 AM (US/Central)</v>
      </c>
      <c r="U47" s="1" t="s">
        <v>30</v>
      </c>
    </row>
    <row r="48" spans="1:21">
      <c r="A48" t="s">
        <v>44</v>
      </c>
      <c r="C48" t="s">
        <v>70</v>
      </c>
      <c r="D48" t="s">
        <v>23</v>
      </c>
      <c r="E48" t="s">
        <v>24</v>
      </c>
      <c r="F48" t="s">
        <v>25</v>
      </c>
      <c r="G48" t="b">
        <v>1</v>
      </c>
      <c r="H48" t="str">
        <f t="shared" si="3"/>
        <v>46591065</v>
      </c>
      <c r="I48" t="s">
        <v>26</v>
      </c>
      <c r="J48" t="s">
        <v>27</v>
      </c>
      <c r="K48" t="s">
        <v>27</v>
      </c>
      <c r="N48" t="s">
        <v>45</v>
      </c>
      <c r="O48" t="s">
        <v>46</v>
      </c>
      <c r="P48" t="str">
        <f t="shared" si="4"/>
        <v>46591065</v>
      </c>
      <c r="Q48" t="s">
        <v>26</v>
      </c>
      <c r="R48" t="s">
        <v>89</v>
      </c>
      <c r="T48" t="str">
        <f t="shared" si="5"/>
        <v>0:00 AM (US/Central)</v>
      </c>
      <c r="U48" s="1" t="s">
        <v>30</v>
      </c>
    </row>
    <row r="49" spans="1:22">
      <c r="A49" t="s">
        <v>22</v>
      </c>
      <c r="C49" t="s">
        <v>70</v>
      </c>
      <c r="D49" t="s">
        <v>23</v>
      </c>
      <c r="E49" t="s">
        <v>24</v>
      </c>
      <c r="F49" t="s">
        <v>25</v>
      </c>
      <c r="G49" t="b">
        <v>1</v>
      </c>
      <c r="H49" t="str">
        <f t="shared" si="3"/>
        <v>46591065</v>
      </c>
      <c r="I49" t="s">
        <v>26</v>
      </c>
      <c r="J49" t="s">
        <v>27</v>
      </c>
      <c r="K49" t="s">
        <v>27</v>
      </c>
      <c r="O49" t="s">
        <v>28</v>
      </c>
      <c r="P49" t="str">
        <f t="shared" si="4"/>
        <v>46591065</v>
      </c>
      <c r="Q49" t="s">
        <v>26</v>
      </c>
      <c r="R49" t="s">
        <v>29</v>
      </c>
      <c r="T49" t="str">
        <f t="shared" si="5"/>
        <v>0:00 AM (US/Central)</v>
      </c>
      <c r="U49" s="1" t="s">
        <v>30</v>
      </c>
    </row>
    <row r="50" spans="1:22">
      <c r="A50" t="s">
        <v>91</v>
      </c>
      <c r="B50" t="s">
        <v>84</v>
      </c>
      <c r="D50" t="s">
        <v>86</v>
      </c>
      <c r="E50" t="s">
        <v>24</v>
      </c>
      <c r="F50" t="s">
        <v>71</v>
      </c>
      <c r="G50" t="b">
        <v>1</v>
      </c>
      <c r="H50" t="str">
        <f t="shared" si="3"/>
        <v>46591065</v>
      </c>
      <c r="I50" t="s">
        <v>26</v>
      </c>
      <c r="J50" t="s">
        <v>27</v>
      </c>
      <c r="K50" t="s">
        <v>27</v>
      </c>
      <c r="P50" t="str">
        <f t="shared" si="4"/>
        <v>46591065</v>
      </c>
      <c r="Q50" t="s">
        <v>26</v>
      </c>
      <c r="R50" t="s">
        <v>87</v>
      </c>
      <c r="T50" t="str">
        <f t="shared" si="5"/>
        <v>0:00 AM (US/Central)</v>
      </c>
      <c r="U50" s="1" t="s">
        <v>30</v>
      </c>
      <c r="V50" t="s">
        <v>88</v>
      </c>
    </row>
    <row r="51" spans="1:22">
      <c r="A51" t="s">
        <v>92</v>
      </c>
      <c r="B51" t="s">
        <v>93</v>
      </c>
      <c r="D51" t="s">
        <v>23</v>
      </c>
      <c r="E51" t="s">
        <v>24</v>
      </c>
      <c r="F51" t="s">
        <v>71</v>
      </c>
      <c r="G51" t="b">
        <v>1</v>
      </c>
      <c r="H51" t="str">
        <f t="shared" si="3"/>
        <v>46591065</v>
      </c>
      <c r="I51" t="s">
        <v>26</v>
      </c>
      <c r="J51" t="s">
        <v>27</v>
      </c>
      <c r="K51" t="s">
        <v>27</v>
      </c>
      <c r="M51" t="s">
        <v>94</v>
      </c>
      <c r="N51" t="s">
        <v>95</v>
      </c>
      <c r="O51" t="s">
        <v>96</v>
      </c>
      <c r="P51" t="str">
        <f t="shared" si="4"/>
        <v>46591065</v>
      </c>
      <c r="Q51" t="s">
        <v>26</v>
      </c>
      <c r="R51" t="s">
        <v>97</v>
      </c>
      <c r="T51" t="str">
        <f t="shared" si="5"/>
        <v>0:00 AM (US/Central)</v>
      </c>
      <c r="U51" s="1" t="s">
        <v>30</v>
      </c>
    </row>
    <row r="52" spans="1:22">
      <c r="A52" t="s">
        <v>92</v>
      </c>
      <c r="B52" t="s">
        <v>93</v>
      </c>
      <c r="D52" t="s">
        <v>23</v>
      </c>
      <c r="E52" t="s">
        <v>24</v>
      </c>
      <c r="F52" t="s">
        <v>71</v>
      </c>
      <c r="G52" t="b">
        <v>1</v>
      </c>
      <c r="H52" t="str">
        <f t="shared" si="3"/>
        <v>46591065</v>
      </c>
      <c r="I52" t="s">
        <v>26</v>
      </c>
      <c r="J52" t="s">
        <v>27</v>
      </c>
      <c r="K52" t="s">
        <v>27</v>
      </c>
      <c r="M52" t="s">
        <v>94</v>
      </c>
      <c r="N52" t="s">
        <v>95</v>
      </c>
      <c r="O52" t="s">
        <v>96</v>
      </c>
      <c r="P52" t="str">
        <f t="shared" si="4"/>
        <v>46591065</v>
      </c>
      <c r="Q52" t="s">
        <v>26</v>
      </c>
      <c r="R52" t="s">
        <v>97</v>
      </c>
      <c r="T52" t="str">
        <f t="shared" si="5"/>
        <v>0:00 AM (US/Central)</v>
      </c>
      <c r="U52" s="1" t="s">
        <v>30</v>
      </c>
    </row>
    <row r="53" spans="1:22">
      <c r="A53" t="s">
        <v>83</v>
      </c>
      <c r="D53" t="s">
        <v>98</v>
      </c>
      <c r="E53" t="s">
        <v>24</v>
      </c>
      <c r="F53" t="s">
        <v>71</v>
      </c>
      <c r="G53" t="b">
        <v>1</v>
      </c>
      <c r="H53" t="str">
        <f>"48717663"</f>
        <v>48717663</v>
      </c>
      <c r="I53" t="s">
        <v>99</v>
      </c>
      <c r="J53" t="s">
        <v>27</v>
      </c>
      <c r="K53" t="s">
        <v>27</v>
      </c>
      <c r="P53" t="str">
        <f>"48717663"</f>
        <v>48717663</v>
      </c>
      <c r="Q53" t="s">
        <v>99</v>
      </c>
      <c r="R53" t="s">
        <v>100</v>
      </c>
      <c r="T53" t="str">
        <f t="shared" si="5"/>
        <v>0:00 AM (US/Central)</v>
      </c>
      <c r="U5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Alaina Padgett</cp:lastModifiedBy>
  <cp:revision/>
  <dcterms:created xsi:type="dcterms:W3CDTF">2025-01-10T08:31:34Z</dcterms:created>
  <dcterms:modified xsi:type="dcterms:W3CDTF">2025-01-10T11:52:56Z</dcterms:modified>
  <cp:category/>
  <cp:contentStatus/>
</cp:coreProperties>
</file>